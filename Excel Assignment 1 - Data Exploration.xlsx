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NTRIE Assign\ass 1\"/>
    </mc:Choice>
  </mc:AlternateContent>
  <xr:revisionPtr revIDLastSave="0" documentId="13_ncr:1_{67AC94C4-717E-4FE0-B025-648E3066705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C39" i="1" l="1" a="1"/>
  <c r="C39" i="1" s="1"/>
  <c r="C38" i="1"/>
  <c r="K23" i="1" a="1"/>
  <c r="K23" i="1" s="1"/>
  <c r="I23" i="1" a="1"/>
  <c r="I23" i="1" s="1"/>
  <c r="G23" i="1" a="1"/>
  <c r="G23" i="1" s="1"/>
  <c r="H16" i="1"/>
  <c r="H14" i="1"/>
  <c r="H11" i="1"/>
  <c r="H9" i="1"/>
  <c r="H7" i="1"/>
  <c r="H5" i="1"/>
  <c r="H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<sst xmlns="http://schemas.openxmlformats.org/spreadsheetml/2006/main" count="169" uniqueCount="118">
  <si>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</si>
  <si>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</si>
  <si>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</si>
  <si>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</si>
  <si>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</si>
  <si>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</si>
  <si>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</si>
  <si>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</si>
  <si>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</si>
  <si>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</si>
  <si>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</si>
  <si>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</si>
  <si>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</si>
  <si>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</si>
  <si>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</si>
  <si>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</si>
  <si>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</si>
  <si>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</si>
  <si>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</si>
  <si>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</si>
  <si>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</si>
  <si>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</si>
  <si>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</si>
  <si>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</si>
  <si>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</si>
  <si>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</si>
  <si>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</si>
  <si>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</si>
  <si>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</si>
  <si>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</si>
  <si>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</si>
  <si>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</si>
  <si>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</si>
  <si>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</si>
  <si>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</si>
  <si>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</si>
  <si>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</si>
  <si>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</si>
  <si>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</si>
  <si>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</si>
  <si>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</si>
  <si>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</si>
  <si>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</si>
  <si>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</si>
  <si>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</si>
  <si>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</si>
  <si>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</si>
  <si>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</si>
  <si>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</si>
  <si>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</si>
  <si>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</si>
  <si>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</si>
  <si>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</si>
  <si>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</si>
  <si>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</si>
  <si>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</si>
  <si>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</si>
  <si>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</si>
  <si>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</si>
  <si>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</si>
  <si>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</si>
  <si>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</si>
  <si>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</si>
  <si>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</si>
  <si>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</si>
  <si>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</si>
  <si>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</si>
  <si>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</si>
  <si>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</si>
  <si>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</si>
  <si>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</si>
  <si>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</si>
  <si>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</si>
  <si>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</si>
  <si>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</si>
  <si>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</si>
  <si>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</si>
  <si>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</si>
  <si>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</si>
  <si>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</si>
  <si>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</si>
  <si>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</si>
  <si>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</si>
  <si>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</si>
  <si>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</si>
  <si>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</si>
  <si>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</si>
  <si>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</si>
  <si>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</si>
  <si>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</si>
  <si>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</si>
  <si>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</si>
  <si>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</si>
  <si>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Calculate the total price of all products in the dataset.</t>
  </si>
  <si>
    <t>sum(d2:d35)</t>
  </si>
  <si>
    <t>Determine how many products exist in the dataset</t>
  </si>
  <si>
    <t>count(b2:b35)</t>
  </si>
  <si>
    <t>Calculate the average price of the products.</t>
  </si>
  <si>
    <t>average(d2:d35)</t>
  </si>
  <si>
    <t>Identify the minimum price among all products.</t>
  </si>
  <si>
    <t>min(d2:d35)</t>
  </si>
  <si>
    <t>Identify the maximum price among all products.</t>
  </si>
  <si>
    <t>max(d2:d35)</t>
  </si>
  <si>
    <t>Conditional Functions – SUMIF and COUNTIF</t>
  </si>
  <si>
    <t>SUMIF(F2:F35,"Electronics",D2:D35")</t>
  </si>
  <si>
    <t>Use the COUNTIF function to determine the number of products with a price less than $100.</t>
  </si>
  <si>
    <t>Use the SUMIF function to calculate the total price of products in the Electronics category.</t>
  </si>
  <si>
    <t>COUNTIF(D2:D100,"&lt;100")</t>
  </si>
  <si>
    <t>Text Formatting – LEFT, RIGHT, MID</t>
  </si>
  <si>
    <t>LEFT</t>
  </si>
  <si>
    <t>FORMULA</t>
  </si>
  <si>
    <t>RIGHT</t>
  </si>
  <si>
    <t>MID</t>
  </si>
  <si>
    <t>left(a2:a35,2)</t>
  </si>
  <si>
    <t>right(a2:a35,2)</t>
  </si>
  <si>
    <t>mid(a2:a35,4,3)</t>
  </si>
  <si>
    <t>Logical Function – IF</t>
  </si>
  <si>
    <t>if(d2:d35&gt;=500,"high price",standard price")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</si>
</sst>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8"/>
      <name val="Arial"/>
      <scheme val="minor"/>
    </font>
    <font>
      <sz val="10"/>
      <color theme="3"/>
      <name val="Arial"/>
      <family val="2"/>
    </font>
    <font>
      <sz val="10"/>
      <color theme="3"/>
      <name val="Arial"/>
      <family val="2"/>
      <scheme val="minor"/>
    </font>
    <font>
      <sz val="10"/>
      <color rgb="FF00000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E0F7FA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4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0" fillId="7" borderId="0" xfId="0" applyFill="1"/>
    <xf numFmtId="0" fontId="2" fillId="7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4" borderId="0" xfId="0" applyFont="1" applyFill="1"/>
    <xf numFmtId="0" fontId="2" fillId="8" borderId="0" xfId="0" applyFont="1" applyFill="1"/>
    <xf numFmtId="0" fontId="6" fillId="4" borderId="0" xfId="0" applyFont="1" applyFill="1"/>
    <xf numFmtId="0" fontId="0" fillId="4" borderId="0" xfId="0" applyFill="1"/>
    <xf numFmtId="0" fontId="0" fillId="9" borderId="0" xfId="0" applyFill="1"/>
    <xf numFmtId="0" fontId="0" fillId="9" borderId="0" xfId="0" applyFill="1" applyAlignment="1">
      <alignment horizontal="center" vertical="center"/>
    </xf>
    <xf numFmtId="0" fontId="6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00"/>
  <sheetViews>
    <sheetView tabSelected="1" zoomScale="44" zoomScaleNormal="58" zoomScalePageLayoutView="44" workbookViewId="0">
      <selection activeCell="I70" sqref="I70"/>
    </sheetView>
  </sheetViews>
  <sheetFormatPr defaultColWidth="12.6328125" defaultRowHeight="15" customHeight="1" x14ac:dyDescent="0.25"/>
  <cols>
    <col min="2" max="2" width="14.08984375" customWidth="1"/>
  </cols>
  <sheetData>
    <row r="1" spans="1:12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12" ht="15.75" customHeight="1" x14ac:dyDescent="0.25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>
        <v>1</v>
      </c>
      <c r="H2" t="s">
        <v>93</v>
      </c>
    </row>
    <row r="3" spans="1:12" ht="15.75" customHeight="1" x14ac:dyDescent="0.25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3"/>
      <c r="H3">
        <f>SUM(D2:D35)</f>
        <v>10100</v>
      </c>
      <c r="J3" s="20" t="s">
        <v>94</v>
      </c>
    </row>
    <row r="4" spans="1:12" ht="15.75" customHeight="1" x14ac:dyDescent="0.25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/>
      <c r="H4" t="s">
        <v>95</v>
      </c>
    </row>
    <row r="5" spans="1:12" ht="15.75" customHeight="1" x14ac:dyDescent="0.25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3"/>
      <c r="H5">
        <f>COUNT(B2:B35)</f>
        <v>0</v>
      </c>
      <c r="J5" s="20" t="s">
        <v>96</v>
      </c>
    </row>
    <row r="6" spans="1:12" ht="15.75" customHeight="1" x14ac:dyDescent="0.25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/>
      <c r="H6" t="s">
        <v>97</v>
      </c>
    </row>
    <row r="7" spans="1:12" ht="15.75" customHeight="1" x14ac:dyDescent="0.25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3"/>
      <c r="H7">
        <f>AVERAGE(D2:D35)</f>
        <v>297.05882352941177</v>
      </c>
      <c r="J7" s="20" t="s">
        <v>98</v>
      </c>
    </row>
    <row r="8" spans="1:12" ht="15.75" customHeight="1" x14ac:dyDescent="0.25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>
        <v>2</v>
      </c>
      <c r="H8" t="s">
        <v>99</v>
      </c>
    </row>
    <row r="9" spans="1:12" ht="15.75" customHeight="1" x14ac:dyDescent="0.25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3"/>
      <c r="H9">
        <f>MIN(D2:D35)</f>
        <v>30</v>
      </c>
      <c r="J9" s="20" t="s">
        <v>100</v>
      </c>
    </row>
    <row r="10" spans="1:12" ht="15.75" customHeight="1" x14ac:dyDescent="0.25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/>
      <c r="H10" t="s">
        <v>101</v>
      </c>
    </row>
    <row r="11" spans="1:12" ht="15.75" customHeight="1" x14ac:dyDescent="0.25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3"/>
      <c r="H11">
        <f>MAX(D2:D35)</f>
        <v>1000</v>
      </c>
      <c r="J11" s="20" t="s">
        <v>102</v>
      </c>
    </row>
    <row r="12" spans="1:12" ht="15.75" customHeight="1" x14ac:dyDescent="0.25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>
        <v>4</v>
      </c>
      <c r="H12" t="s">
        <v>103</v>
      </c>
    </row>
    <row r="13" spans="1:12" ht="15.75" customHeight="1" x14ac:dyDescent="0.25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3"/>
      <c r="H13" t="s">
        <v>106</v>
      </c>
    </row>
    <row r="14" spans="1:12" ht="15.75" customHeight="1" x14ac:dyDescent="0.25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/>
      <c r="H14">
        <f>SUMIF(F2:F35,"Electronics",D2:D35)</f>
        <v>8050</v>
      </c>
      <c r="J14" s="20" t="s">
        <v>104</v>
      </c>
      <c r="K14" s="20"/>
      <c r="L14" s="20"/>
    </row>
    <row r="15" spans="1:12" ht="15.75" customHeight="1" x14ac:dyDescent="0.25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3"/>
      <c r="H15" t="s">
        <v>105</v>
      </c>
    </row>
    <row r="16" spans="1:12" ht="15.75" customHeight="1" x14ac:dyDescent="0.25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H16">
        <f>COUNTIF(D2:D35,"&lt;100")</f>
        <v>11</v>
      </c>
      <c r="J16" s="20" t="s">
        <v>107</v>
      </c>
      <c r="K16" s="20"/>
    </row>
    <row r="17" spans="1:12" ht="15.75" customHeight="1" x14ac:dyDescent="0.25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3"/>
    </row>
    <row r="18" spans="1:12" ht="15.75" customHeight="1" x14ac:dyDescent="0.25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/>
    </row>
    <row r="19" spans="1:12" ht="15.75" customHeight="1" x14ac:dyDescent="0.25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3"/>
    </row>
    <row r="20" spans="1:12" ht="15.75" customHeight="1" x14ac:dyDescent="0.25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>
        <v>5</v>
      </c>
      <c r="H20" t="s">
        <v>108</v>
      </c>
    </row>
    <row r="21" spans="1:12" ht="15.75" customHeight="1" x14ac:dyDescent="0.25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</row>
    <row r="22" spans="1:12" ht="15.75" customHeight="1" x14ac:dyDescent="0.25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11" t="s">
        <v>109</v>
      </c>
      <c r="H22" s="14" t="s">
        <v>110</v>
      </c>
      <c r="I22" s="11" t="s">
        <v>111</v>
      </c>
      <c r="J22" s="14" t="s">
        <v>110</v>
      </c>
      <c r="K22" s="11" t="s">
        <v>112</v>
      </c>
      <c r="L22" s="14" t="s">
        <v>110</v>
      </c>
    </row>
    <row r="23" spans="1:12" ht="15.75" customHeight="1" x14ac:dyDescent="0.25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7" t="str" cm="1">
        <f t="array" ref="G23:G56">LEFT(A2:A35,2)</f>
        <v>28</v>
      </c>
      <c r="H23" s="13" t="s">
        <v>113</v>
      </c>
      <c r="I23" s="12" t="str" cm="1">
        <f t="array" ref="I23:I56">RIGHT(A2:A35,2)</f>
        <v>US</v>
      </c>
      <c r="J23" s="15" t="s">
        <v>114</v>
      </c>
      <c r="K23" s="12" t="str" cm="1">
        <f t="array" ref="K23:K56">MID(A2:A35,4,3)</f>
        <v>JAN</v>
      </c>
      <c r="L23" s="13" t="s">
        <v>115</v>
      </c>
    </row>
    <row r="24" spans="1:12" ht="15.75" customHeight="1" x14ac:dyDescent="0.25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8" t="str">
        <v>15</v>
      </c>
      <c r="H24" s="21"/>
      <c r="I24" s="12" t="str">
        <v>US</v>
      </c>
      <c r="J24" s="22"/>
      <c r="K24" s="12" t="str">
        <v>FEB</v>
      </c>
      <c r="L24" s="21"/>
    </row>
    <row r="25" spans="1:12" ht="15.75" customHeight="1" x14ac:dyDescent="0.25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9" t="str">
        <v>03</v>
      </c>
      <c r="H25" s="21"/>
      <c r="I25" s="12" t="str">
        <v>US</v>
      </c>
      <c r="J25" s="22"/>
      <c r="K25" s="12" t="str">
        <v>MAR</v>
      </c>
      <c r="L25" s="21"/>
    </row>
    <row r="26" spans="1:12" ht="15.75" customHeight="1" x14ac:dyDescent="0.25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8" t="str">
        <v>11</v>
      </c>
      <c r="H26" s="21"/>
      <c r="I26" s="12" t="str">
        <v>US</v>
      </c>
      <c r="J26" s="22"/>
      <c r="K26" s="12" t="str">
        <v>APR</v>
      </c>
      <c r="L26" s="21"/>
    </row>
    <row r="27" spans="1:12" ht="15.75" customHeight="1" x14ac:dyDescent="0.25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8" t="str">
        <v>22</v>
      </c>
      <c r="H27" s="21"/>
      <c r="I27" s="12" t="str">
        <v>US</v>
      </c>
      <c r="J27" s="22"/>
      <c r="K27" s="12" t="str">
        <v>MAY</v>
      </c>
      <c r="L27" s="21"/>
    </row>
    <row r="28" spans="1:12" ht="15.75" customHeight="1" x14ac:dyDescent="0.25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8" t="str">
        <v>07</v>
      </c>
      <c r="H28" s="21"/>
      <c r="I28" s="12" t="str">
        <v>UK</v>
      </c>
      <c r="J28" s="22"/>
      <c r="K28" s="12" t="str">
        <v>JUN</v>
      </c>
      <c r="L28" s="21"/>
    </row>
    <row r="29" spans="1:12" ht="15.75" customHeight="1" x14ac:dyDescent="0.25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9" t="str">
        <v>19</v>
      </c>
      <c r="H29" s="21"/>
      <c r="I29" s="12" t="str">
        <v>UK</v>
      </c>
      <c r="J29" s="22"/>
      <c r="K29" s="12" t="str">
        <v>JUL</v>
      </c>
      <c r="L29" s="21"/>
    </row>
    <row r="30" spans="1:12" ht="15.75" customHeight="1" x14ac:dyDescent="0.25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8" t="str">
        <v>23</v>
      </c>
      <c r="H30" s="21"/>
      <c r="I30" s="12" t="str">
        <v>UK</v>
      </c>
      <c r="J30" s="22"/>
      <c r="K30" s="12" t="str">
        <v>AUG</v>
      </c>
      <c r="L30" s="21"/>
    </row>
    <row r="31" spans="1:12" ht="15.75" customHeight="1" x14ac:dyDescent="0.25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8" t="str">
        <v>05</v>
      </c>
      <c r="H31" s="21"/>
      <c r="I31" s="12" t="str">
        <v>UK</v>
      </c>
      <c r="J31" s="22"/>
      <c r="K31" s="12" t="str">
        <v>SEP</v>
      </c>
      <c r="L31" s="21"/>
    </row>
    <row r="32" spans="1:12" ht="15.75" customHeight="1" x14ac:dyDescent="0.25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8" t="str">
        <v>14</v>
      </c>
      <c r="H32" s="21"/>
      <c r="I32" s="12" t="str">
        <v>UK</v>
      </c>
      <c r="J32" s="22"/>
      <c r="K32" s="12" t="str">
        <v>OCT</v>
      </c>
      <c r="L32" s="21"/>
    </row>
    <row r="33" spans="1:12" ht="15.75" customHeight="1" x14ac:dyDescent="0.25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8" t="str">
        <v>17</v>
      </c>
      <c r="H33" s="21"/>
      <c r="I33" s="12" t="str">
        <v>IN</v>
      </c>
      <c r="J33" s="22"/>
      <c r="K33" s="12" t="str">
        <v>JUN</v>
      </c>
      <c r="L33" s="21"/>
    </row>
    <row r="34" spans="1:12" ht="15.75" customHeight="1" x14ac:dyDescent="0.25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8" t="str">
        <v>25</v>
      </c>
      <c r="H34" s="21"/>
      <c r="I34" s="12" t="str">
        <v>AU</v>
      </c>
      <c r="J34" s="22"/>
      <c r="K34" s="12" t="str">
        <v>NOV</v>
      </c>
      <c r="L34" s="21"/>
    </row>
    <row r="35" spans="1:12" ht="15.75" customHeight="1" x14ac:dyDescent="0.25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8" t="str">
        <v>08</v>
      </c>
      <c r="H35" s="21"/>
      <c r="I35" s="12" t="str">
        <v>DE</v>
      </c>
      <c r="J35" s="22"/>
      <c r="K35" s="12" t="str">
        <v>DEC</v>
      </c>
      <c r="L35" s="21"/>
    </row>
    <row r="36" spans="1:12" ht="15.75" customHeight="1" x14ac:dyDescent="0.25">
      <c r="G36" s="10" t="str">
        <v>18</v>
      </c>
      <c r="H36" s="21"/>
      <c r="I36" s="12" t="str">
        <v>CA</v>
      </c>
      <c r="J36" s="22"/>
      <c r="K36" s="12" t="str">
        <v>FEB</v>
      </c>
      <c r="L36" s="21"/>
    </row>
    <row r="37" spans="1:12" ht="15.75" customHeight="1" x14ac:dyDescent="0.25">
      <c r="A37">
        <v>3</v>
      </c>
      <c r="B37" s="5" t="s">
        <v>116</v>
      </c>
      <c r="C37" s="16"/>
      <c r="D37" s="5"/>
      <c r="E37" s="5"/>
      <c r="G37" s="10" t="str">
        <v>16</v>
      </c>
      <c r="H37" s="21"/>
      <c r="I37" s="12" t="str">
        <v>ES</v>
      </c>
      <c r="J37" s="22"/>
      <c r="K37" s="12" t="str">
        <v>APR</v>
      </c>
      <c r="L37" s="21"/>
    </row>
    <row r="38" spans="1:12" ht="15.75" customHeight="1" x14ac:dyDescent="0.25">
      <c r="B38" s="17">
        <v>1000</v>
      </c>
      <c r="C38" s="13" t="str">
        <f>IF(D2&gt;=500,"high price","standarad price")</f>
        <v>high price</v>
      </c>
      <c r="D38" s="19" t="s">
        <v>117</v>
      </c>
      <c r="E38" s="20"/>
      <c r="F38" s="20"/>
      <c r="G38" s="10" t="str">
        <v>21</v>
      </c>
      <c r="H38" s="21"/>
      <c r="I38" s="12" t="str">
        <v>CA</v>
      </c>
      <c r="J38" s="22"/>
      <c r="K38" s="12" t="str">
        <v>AUG</v>
      </c>
      <c r="L38" s="21"/>
    </row>
    <row r="39" spans="1:12" ht="15.75" customHeight="1" x14ac:dyDescent="0.25">
      <c r="B39" s="18">
        <v>80</v>
      </c>
      <c r="C39" s="13" t="str" cm="1">
        <f t="array" ref="C39:C71">IF(D3:D35&gt;=500,"high price","standard price")</f>
        <v>standard price</v>
      </c>
      <c r="G39" s="10" t="str">
        <v>20</v>
      </c>
      <c r="H39" s="21"/>
      <c r="I39" s="12" t="str">
        <v>CN</v>
      </c>
      <c r="J39" s="22"/>
      <c r="K39" s="12" t="str">
        <v>AUG</v>
      </c>
      <c r="L39" s="21"/>
    </row>
    <row r="40" spans="1:12" ht="15.75" customHeight="1" x14ac:dyDescent="0.25">
      <c r="B40" s="17">
        <v>130</v>
      </c>
      <c r="C40" s="13" t="str">
        <v>standard price</v>
      </c>
      <c r="G40" s="10" t="str">
        <v>27</v>
      </c>
      <c r="H40" s="21"/>
      <c r="I40" s="12" t="str">
        <v>IT</v>
      </c>
      <c r="J40" s="22"/>
      <c r="K40" s="12" t="str">
        <v>JAN</v>
      </c>
      <c r="L40" s="21"/>
    </row>
    <row r="41" spans="1:12" ht="15.75" customHeight="1" x14ac:dyDescent="0.25">
      <c r="B41" s="18">
        <v>900</v>
      </c>
      <c r="C41" s="13" t="str">
        <v>high price</v>
      </c>
      <c r="G41" s="10" t="str">
        <v>01</v>
      </c>
      <c r="H41" s="21"/>
      <c r="I41" s="12" t="str">
        <v>UK</v>
      </c>
      <c r="J41" s="22"/>
      <c r="K41" s="12" t="str">
        <v>MAR</v>
      </c>
      <c r="L41" s="21"/>
    </row>
    <row r="42" spans="1:12" ht="15.75" customHeight="1" x14ac:dyDescent="0.25">
      <c r="B42" s="17">
        <v>70</v>
      </c>
      <c r="C42" s="13" t="str">
        <v>standard price</v>
      </c>
      <c r="G42" s="10" t="str">
        <v>14</v>
      </c>
      <c r="H42" s="21"/>
      <c r="I42" s="12" t="str">
        <v>US</v>
      </c>
      <c r="J42" s="22"/>
      <c r="K42" s="12" t="str">
        <v>AUG</v>
      </c>
      <c r="L42" s="21"/>
    </row>
    <row r="43" spans="1:12" ht="15.75" customHeight="1" x14ac:dyDescent="0.25">
      <c r="B43" s="18">
        <v>200</v>
      </c>
      <c r="C43" s="13" t="str">
        <v>standard price</v>
      </c>
      <c r="G43" s="10" t="str">
        <v>14</v>
      </c>
      <c r="H43" s="21"/>
      <c r="I43" s="12" t="str">
        <v>RU</v>
      </c>
      <c r="J43" s="22"/>
      <c r="K43" s="12" t="str">
        <v>MAY</v>
      </c>
      <c r="L43" s="21"/>
    </row>
    <row r="44" spans="1:12" ht="15.75" customHeight="1" x14ac:dyDescent="0.25">
      <c r="B44" s="17">
        <v>30</v>
      </c>
      <c r="C44" s="13" t="str">
        <v>standard price</v>
      </c>
      <c r="G44" s="10" t="str">
        <v>09</v>
      </c>
      <c r="H44" s="21"/>
      <c r="I44" s="12" t="str">
        <v>CA</v>
      </c>
      <c r="J44" s="22"/>
      <c r="K44" s="12" t="str">
        <v>JAN</v>
      </c>
      <c r="L44" s="21"/>
    </row>
    <row r="45" spans="1:12" ht="15.75" customHeight="1" x14ac:dyDescent="0.25">
      <c r="B45" s="18">
        <v>90</v>
      </c>
      <c r="C45" s="13" t="str">
        <v>standard price</v>
      </c>
      <c r="G45" s="10" t="str">
        <v>19</v>
      </c>
      <c r="H45" s="21"/>
      <c r="I45" s="12" t="str">
        <v>BR</v>
      </c>
      <c r="J45" s="22"/>
      <c r="K45" s="12" t="str">
        <v>JUL</v>
      </c>
      <c r="L45" s="21"/>
    </row>
    <row r="46" spans="1:12" ht="15.75" customHeight="1" x14ac:dyDescent="0.25">
      <c r="B46" s="17">
        <v>500</v>
      </c>
      <c r="C46" s="13" t="str">
        <v>high price</v>
      </c>
      <c r="G46" s="10" t="str">
        <v>21</v>
      </c>
      <c r="H46" s="21"/>
      <c r="I46" s="12" t="str">
        <v>CA</v>
      </c>
      <c r="J46" s="22"/>
      <c r="K46" s="12" t="str">
        <v>AUG</v>
      </c>
      <c r="L46" s="21"/>
    </row>
    <row r="47" spans="1:12" ht="15.75" customHeight="1" x14ac:dyDescent="0.25">
      <c r="B47" s="18">
        <v>130</v>
      </c>
      <c r="C47" s="13" t="str">
        <v>standard price</v>
      </c>
      <c r="G47" s="10" t="str">
        <v>29</v>
      </c>
      <c r="H47" s="21"/>
      <c r="I47" s="12" t="str">
        <v>CA</v>
      </c>
      <c r="J47" s="22"/>
      <c r="K47" s="12" t="str">
        <v>SEP</v>
      </c>
      <c r="L47" s="21"/>
    </row>
    <row r="48" spans="1:12" ht="15.75" customHeight="1" x14ac:dyDescent="0.25">
      <c r="B48" s="17">
        <v>950</v>
      </c>
      <c r="C48" s="13" t="str">
        <v>high price</v>
      </c>
      <c r="G48" s="10" t="str">
        <v>03</v>
      </c>
      <c r="H48" s="21"/>
      <c r="I48" s="12" t="str">
        <v>CA</v>
      </c>
      <c r="J48" s="22"/>
      <c r="K48" s="12" t="str">
        <v>JUN</v>
      </c>
      <c r="L48" s="21"/>
    </row>
    <row r="49" spans="2:12" ht="15.75" customHeight="1" x14ac:dyDescent="0.25">
      <c r="B49" s="18">
        <v>90</v>
      </c>
      <c r="C49" s="13" t="str">
        <v>standard price</v>
      </c>
      <c r="G49" s="10" t="str">
        <v>11</v>
      </c>
      <c r="H49" s="21"/>
      <c r="I49" s="12" t="str">
        <v>CA</v>
      </c>
      <c r="J49" s="22"/>
      <c r="K49" s="12" t="str">
        <v>JUL</v>
      </c>
      <c r="L49" s="21"/>
    </row>
    <row r="50" spans="2:12" ht="15.75" customHeight="1" x14ac:dyDescent="0.25">
      <c r="B50" s="17">
        <v>120</v>
      </c>
      <c r="C50" s="13" t="str">
        <v>standard price</v>
      </c>
      <c r="G50" s="10" t="str">
        <v>16</v>
      </c>
      <c r="H50" s="21"/>
      <c r="I50" s="12" t="str">
        <v>ES</v>
      </c>
      <c r="J50" s="22"/>
      <c r="K50" s="12" t="str">
        <v>APR</v>
      </c>
      <c r="L50" s="21"/>
    </row>
    <row r="51" spans="2:12" ht="15.75" customHeight="1" x14ac:dyDescent="0.25">
      <c r="B51" s="18">
        <v>150</v>
      </c>
      <c r="C51" s="13" t="str">
        <v>standard price</v>
      </c>
      <c r="G51" s="10" t="str">
        <v>07</v>
      </c>
      <c r="H51" s="21"/>
      <c r="I51" s="12" t="str">
        <v>CA</v>
      </c>
      <c r="J51" s="22"/>
      <c r="K51" s="12" t="str">
        <v>MAR</v>
      </c>
      <c r="L51" s="21"/>
    </row>
    <row r="52" spans="2:12" ht="15.75" customHeight="1" x14ac:dyDescent="0.25">
      <c r="B52" s="17">
        <v>250</v>
      </c>
      <c r="C52" s="13" t="str">
        <v>standard price</v>
      </c>
      <c r="G52" s="10" t="str">
        <v>13</v>
      </c>
      <c r="H52" s="21"/>
      <c r="I52" s="12" t="str">
        <v>CA</v>
      </c>
      <c r="J52" s="22"/>
      <c r="K52" s="12" t="str">
        <v>APR</v>
      </c>
      <c r="L52" s="21"/>
    </row>
    <row r="53" spans="2:12" ht="15.75" customHeight="1" x14ac:dyDescent="0.25">
      <c r="B53" s="18">
        <v>50</v>
      </c>
      <c r="C53" s="13" t="str">
        <v>standard price</v>
      </c>
      <c r="G53" s="10" t="str">
        <v>24</v>
      </c>
      <c r="H53" s="21"/>
      <c r="I53" s="12" t="str">
        <v>CA</v>
      </c>
      <c r="J53" s="22"/>
      <c r="K53" s="12" t="str">
        <v>MAY</v>
      </c>
      <c r="L53" s="21"/>
    </row>
    <row r="54" spans="2:12" ht="15.75" customHeight="1" x14ac:dyDescent="0.25">
      <c r="B54" s="17">
        <v>160</v>
      </c>
      <c r="C54" s="13" t="str">
        <v>standard price</v>
      </c>
      <c r="G54" s="10" t="str">
        <v>02</v>
      </c>
      <c r="H54" s="21"/>
      <c r="I54" s="12" t="str">
        <v>CA</v>
      </c>
      <c r="J54" s="22"/>
      <c r="K54" s="12" t="str">
        <v>DEC</v>
      </c>
      <c r="L54" s="21"/>
    </row>
    <row r="55" spans="2:12" ht="15.75" customHeight="1" x14ac:dyDescent="0.25">
      <c r="B55" s="18">
        <v>980</v>
      </c>
      <c r="C55" s="13" t="str">
        <v>high price</v>
      </c>
      <c r="G55" s="10" t="str">
        <v>17</v>
      </c>
      <c r="H55" s="21"/>
      <c r="I55" s="12" t="str">
        <v>IN</v>
      </c>
      <c r="J55" s="22"/>
      <c r="K55" s="12" t="str">
        <v>JUN</v>
      </c>
      <c r="L55" s="21"/>
    </row>
    <row r="56" spans="2:12" ht="15.75" customHeight="1" x14ac:dyDescent="0.25">
      <c r="B56" s="17">
        <v>150</v>
      </c>
      <c r="C56" s="13" t="str">
        <v>standard price</v>
      </c>
      <c r="G56" s="10" t="str">
        <v>09</v>
      </c>
      <c r="H56" s="21"/>
      <c r="I56" s="12" t="str">
        <v>FR</v>
      </c>
      <c r="J56" s="22"/>
      <c r="K56" s="12" t="str">
        <v>JUL</v>
      </c>
      <c r="L56" s="23"/>
    </row>
    <row r="57" spans="2:12" ht="15.75" customHeight="1" x14ac:dyDescent="0.25">
      <c r="B57" s="18">
        <v>200</v>
      </c>
      <c r="C57" s="13" t="str">
        <v>standard price</v>
      </c>
      <c r="G57" s="6"/>
    </row>
    <row r="58" spans="2:12" ht="15.75" customHeight="1" x14ac:dyDescent="0.25">
      <c r="B58" s="17">
        <v>700</v>
      </c>
      <c r="C58" s="13" t="str">
        <v>high price</v>
      </c>
      <c r="G58" s="6"/>
    </row>
    <row r="59" spans="2:12" ht="15.75" customHeight="1" x14ac:dyDescent="0.25">
      <c r="B59" s="18">
        <v>80</v>
      </c>
      <c r="C59" s="13" t="str">
        <v>standard price</v>
      </c>
    </row>
    <row r="60" spans="2:12" ht="15.75" customHeight="1" x14ac:dyDescent="0.25">
      <c r="B60" s="17">
        <v>150</v>
      </c>
      <c r="C60" s="13" t="str">
        <v>standard price</v>
      </c>
    </row>
    <row r="61" spans="2:12" ht="15.75" customHeight="1" x14ac:dyDescent="0.25">
      <c r="B61" s="18">
        <v>50</v>
      </c>
      <c r="C61" s="13" t="str">
        <v>standard price</v>
      </c>
    </row>
    <row r="62" spans="2:12" ht="15.75" customHeight="1" x14ac:dyDescent="0.25">
      <c r="B62" s="17">
        <v>800</v>
      </c>
      <c r="C62" s="13" t="str">
        <v>high price</v>
      </c>
    </row>
    <row r="63" spans="2:12" ht="15.75" customHeight="1" x14ac:dyDescent="0.25">
      <c r="B63" s="18">
        <v>130</v>
      </c>
      <c r="C63" s="13" t="str">
        <v>standard price</v>
      </c>
    </row>
    <row r="64" spans="2:12" ht="15.75" customHeight="1" x14ac:dyDescent="0.25">
      <c r="B64" s="17">
        <v>400</v>
      </c>
      <c r="C64" s="13" t="str">
        <v>standard price</v>
      </c>
    </row>
    <row r="65" spans="2:3" ht="15.75" customHeight="1" x14ac:dyDescent="0.25">
      <c r="B65" s="18">
        <v>230</v>
      </c>
      <c r="C65" s="13" t="str">
        <v>standard price</v>
      </c>
    </row>
    <row r="66" spans="2:3" ht="15.75" customHeight="1" x14ac:dyDescent="0.25">
      <c r="B66" s="17">
        <v>60</v>
      </c>
      <c r="C66" s="13" t="str">
        <v>standard price</v>
      </c>
    </row>
    <row r="67" spans="2:3" ht="15.75" customHeight="1" x14ac:dyDescent="0.25">
      <c r="B67" s="18">
        <v>40</v>
      </c>
      <c r="C67" s="13" t="str">
        <v>standard price</v>
      </c>
    </row>
    <row r="68" spans="2:3" ht="15.75" customHeight="1" x14ac:dyDescent="0.25">
      <c r="B68" s="17">
        <v>130</v>
      </c>
      <c r="C68" s="13" t="str">
        <v>standard price</v>
      </c>
    </row>
    <row r="69" spans="2:3" ht="15.75" customHeight="1" x14ac:dyDescent="0.25">
      <c r="B69" s="18">
        <v>50</v>
      </c>
      <c r="C69" s="13" t="str">
        <v>standard price</v>
      </c>
    </row>
    <row r="70" spans="2:3" ht="15.75" customHeight="1" x14ac:dyDescent="0.25">
      <c r="B70" s="17">
        <v>950</v>
      </c>
      <c r="C70" s="13" t="str">
        <v>high price</v>
      </c>
    </row>
    <row r="71" spans="2:3" ht="15.75" customHeight="1" x14ac:dyDescent="0.25">
      <c r="B71" s="18">
        <v>100</v>
      </c>
      <c r="C71" s="13" t="str">
        <v>standard price</v>
      </c>
    </row>
    <row r="72" spans="2:3" ht="15.75" customHeight="1" x14ac:dyDescent="0.25"/>
    <row r="73" spans="2:3" ht="15.75" customHeight="1" x14ac:dyDescent="0.25"/>
    <row r="74" spans="2:3" ht="15.75" customHeight="1" x14ac:dyDescent="0.25"/>
    <row r="75" spans="2:3" ht="15.75" customHeight="1" x14ac:dyDescent="0.25"/>
    <row r="76" spans="2:3" ht="15.75" customHeight="1" x14ac:dyDescent="0.25"/>
    <row r="77" spans="2:3" ht="15.75" customHeight="1" x14ac:dyDescent="0.25"/>
    <row r="78" spans="2:3" ht="15.75" customHeight="1" x14ac:dyDescent="0.25"/>
    <row r="79" spans="2:3" ht="15.75" customHeight="1" x14ac:dyDescent="0.25"/>
    <row r="80" spans="2:3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3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JEEVABHARATHI V</cp:lastModifiedBy>
  <dcterms:created xsi:type="dcterms:W3CDTF">2026-09-25T11:57:06Z</dcterms:created>
  <dcterms:modified xsi:type="dcterms:W3CDTF">2026-09-25T17:50:51Z</dcterms:modified>
</cp:coreProperties>
</file>